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Owner\Documents\GitHub\AirLease-LBO\"/>
    </mc:Choice>
  </mc:AlternateContent>
  <xr:revisionPtr revIDLastSave="0" documentId="13_ncr:1_{B9DAE749-7B47-46FC-BF3E-33AD28B28550}" xr6:coauthVersionLast="47" xr6:coauthVersionMax="47" xr10:uidLastSave="{00000000-0000-0000-0000-000000000000}"/>
  <bookViews>
    <workbookView xWindow="11424" yWindow="0" windowWidth="11712" windowHeight="12336" activeTab="1" xr2:uid="{00000000-000D-0000-FFFF-FFFF00000000}"/>
  </bookViews>
  <sheets>
    <sheet name="Cover" sheetId="2" r:id="rId1"/>
    <sheet name="LBO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Owner</author>
  </authors>
  <commentList>
    <comment ref="K12" authorId="0" shapeId="0" xr:uid="{021911C3-D2A6-4F19-84D4-B322A3254E76}">
      <text>
        <r>
          <rPr>
            <b/>
            <sz val="9"/>
            <color indexed="81"/>
            <rFont val="Tahoma"/>
            <family val="2"/>
          </rPr>
          <t>Owner:</t>
        </r>
        <r>
          <rPr>
            <sz val="9"/>
            <color indexed="81"/>
            <rFont val="Tahoma"/>
            <family val="2"/>
          </rPr>
          <t xml:space="preserve">
"Air Lease stockholders will receive $65.00 in cash for each share of Class A common stock of Air Lease"</t>
        </r>
      </text>
    </comment>
    <comment ref="K13" authorId="0" shapeId="0" xr:uid="{F225CD9C-940C-404D-BB81-9FF9F0C0F8FE}">
      <text>
        <r>
          <rPr>
            <b/>
            <sz val="9"/>
            <color indexed="81"/>
            <rFont val="Tahoma"/>
            <family val="2"/>
          </rPr>
          <t>Owner:</t>
        </r>
        <r>
          <rPr>
            <sz val="9"/>
            <color indexed="81"/>
            <rFont val="Tahoma"/>
            <family val="2"/>
          </rPr>
          <t xml:space="preserve">
The premium that investors will receive.</t>
        </r>
      </text>
    </comment>
    <comment ref="E14" authorId="0" shapeId="0" xr:uid="{AA3AA1B3-22D1-4150-99D3-043EF7E78994}">
      <text>
        <r>
          <rPr>
            <b/>
            <sz val="9"/>
            <color indexed="81"/>
            <rFont val="Tahoma"/>
            <family val="2"/>
          </rPr>
          <t>Owner:</t>
        </r>
        <r>
          <rPr>
            <sz val="9"/>
            <color indexed="81"/>
            <rFont val="Tahoma"/>
            <family val="2"/>
          </rPr>
          <t xml:space="preserve">
First Press Release to annouce about the acquisition.</t>
        </r>
      </text>
    </comment>
    <comment ref="E15" authorId="0" shapeId="0" xr:uid="{DC5DAF06-380E-45A9-9BB0-C9ABE2E43076}">
      <text>
        <r>
          <rPr>
            <b/>
            <sz val="9"/>
            <color indexed="81"/>
            <rFont val="Tahoma"/>
            <charset val="1"/>
          </rPr>
          <t>Owner:</t>
        </r>
        <r>
          <rPr>
            <sz val="9"/>
            <color indexed="81"/>
            <rFont val="Tahoma"/>
            <charset val="1"/>
          </rPr>
          <t xml:space="preserve">
Closing Price of 29/8/2025. The 29 August 2025 closing price is used as it represents the unaffected share price prior to the 2 September 2025 press release.</t>
        </r>
      </text>
    </comment>
    <comment ref="E17" authorId="0" shapeId="0" xr:uid="{224AFEBB-2EAF-41D1-B526-ADD5435FB6DA}">
      <text>
        <r>
          <rPr>
            <b/>
            <sz val="9"/>
            <color indexed="81"/>
            <rFont val="Tahoma"/>
            <family val="2"/>
          </rPr>
          <t>Owner:</t>
        </r>
        <r>
          <rPr>
            <sz val="9"/>
            <color indexed="81"/>
            <rFont val="Tahoma"/>
            <family val="2"/>
          </rPr>
          <t xml:space="preserve">
Q2 report is used since it reflects the financial before the press release date.</t>
        </r>
      </text>
    </comment>
    <comment ref="E19" authorId="0" shapeId="0" xr:uid="{5174199F-4000-4904-87A9-9BAE8421908B}">
      <text>
        <r>
          <rPr>
            <b/>
            <sz val="9"/>
            <color indexed="81"/>
            <rFont val="Tahoma"/>
            <family val="2"/>
          </rPr>
          <t>Owner:</t>
        </r>
        <r>
          <rPr>
            <sz val="9"/>
            <color indexed="81"/>
            <rFont val="Tahoma"/>
            <family val="2"/>
          </rPr>
          <t xml:space="preserve">
Q2 10Q pg 7
</t>
        </r>
      </text>
    </comment>
    <comment ref="E20" authorId="0" shapeId="0" xr:uid="{F7EED158-1B70-4774-82CC-5E21F961A545}">
      <text>
        <r>
          <rPr>
            <b/>
            <sz val="9"/>
            <color indexed="81"/>
            <rFont val="Tahoma"/>
            <family val="2"/>
          </rPr>
          <t>Owner:</t>
        </r>
        <r>
          <rPr>
            <sz val="9"/>
            <color indexed="81"/>
            <rFont val="Tahoma"/>
            <family val="2"/>
          </rPr>
          <t xml:space="preserve">
- Q2 10Q pg 7
- Restricted Cash is excluded because it is not usable for debt repayment.</t>
        </r>
      </text>
    </comment>
    <comment ref="E21" authorId="0" shapeId="0" xr:uid="{F19BFD03-C854-484A-9AAC-775E3A40071C}">
      <text>
        <r>
          <rPr>
            <b/>
            <sz val="9"/>
            <color indexed="81"/>
            <rFont val="Tahoma"/>
            <family val="2"/>
          </rPr>
          <t>Owner:</t>
        </r>
        <r>
          <rPr>
            <sz val="9"/>
            <color indexed="81"/>
            <rFont val="Tahoma"/>
            <family val="2"/>
          </rPr>
          <t xml:space="preserve">
$7.4 billion total valuation </t>
        </r>
      </text>
    </comment>
  </commentList>
</comments>
</file>

<file path=xl/sharedStrings.xml><?xml version="1.0" encoding="utf-8"?>
<sst xmlns="http://schemas.openxmlformats.org/spreadsheetml/2006/main" count="36" uniqueCount="29">
  <si>
    <t>Link</t>
  </si>
  <si>
    <t>LBO</t>
  </si>
  <si>
    <t>Switches</t>
  </si>
  <si>
    <t>Circuit breaker</t>
  </si>
  <si>
    <t>Case</t>
  </si>
  <si>
    <t>Assumptions</t>
  </si>
  <si>
    <t>Transaction Background</t>
  </si>
  <si>
    <t>Company Name</t>
  </si>
  <si>
    <t>Ticker</t>
  </si>
  <si>
    <t>Air Lease</t>
  </si>
  <si>
    <t>AL</t>
  </si>
  <si>
    <t>Close Share Price</t>
  </si>
  <si>
    <t>Valuation at Entry</t>
  </si>
  <si>
    <t>Offer value/share</t>
  </si>
  <si>
    <t>% Premum /discount</t>
  </si>
  <si>
    <t>Offer value (Equity Value)</t>
  </si>
  <si>
    <t>Debt</t>
  </si>
  <si>
    <t>Cash</t>
  </si>
  <si>
    <t>Enterprise Value</t>
  </si>
  <si>
    <t>LTM EBITDA</t>
  </si>
  <si>
    <t>Entry Multiple</t>
  </si>
  <si>
    <t>Diluted shares outstanding</t>
  </si>
  <si>
    <t>Minimum Cash</t>
  </si>
  <si>
    <t>Exit Multiple</t>
  </si>
  <si>
    <t>https://www.youtube.com/watch?v=1ZJsA_tjQNc</t>
  </si>
  <si>
    <t>Transaction Financials and Assumptions (In thousands)</t>
  </si>
  <si>
    <t>Capital Structure</t>
  </si>
  <si>
    <t>Announcement Date</t>
  </si>
  <si>
    <t>Assumed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</si>
</sst>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$-409]#,##0.00_ ;\-[$$-409]#,##0.00\ "/>
    <numFmt numFmtId="167" formatCode="_-* #,##0_-;\-* #,##0_-;_-* &quot;-&quot;??_-;_-@_-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7">
    <xf numFmtId="0" fontId="0" fillId="0" borderId="0" xfId="0"/>
    <xf numFmtId="0" fontId="4" fillId="0" borderId="0" xfId="1"/>
    <xf numFmtId="0" fontId="2" fillId="0" borderId="1" xfId="0" applyFont="1" applyBorder="1"/>
    <xf numFmtId="0" fontId="0" fillId="0" borderId="1" xfId="0" applyBorder="1"/>
    <xf numFmtId="0" fontId="1" fillId="2" borderId="0" xfId="0" applyFont="1" applyFill="1"/>
    <xf numFmtId="0" fontId="3" fillId="2" borderId="0" xfId="0" applyFont="1" applyFill="1"/>
    <xf numFmtId="0" fontId="0" fillId="3" borderId="0" xfId="0" applyFill="1"/>
    <xf numFmtId="0" fontId="1" fillId="3" borderId="0" xfId="0" applyFont="1" applyFill="1"/>
    <xf numFmtId="0" fontId="2" fillId="0" borderId="0" xfId="0" applyFont="1"/>
    <xf numFmtId="0" fontId="0" fillId="0" borderId="0" xfId="0" applyAlignment="1">
      <alignment horizontal="left" indent="1"/>
    </xf>
    <xf numFmtId="10" fontId="0" fillId="0" borderId="0" xfId="3" applyNumberFormat="1" applyFont="1"/>
    <xf numFmtId="0" fontId="5" fillId="4" borderId="2" xfId="0" applyFont="1" applyFill="1" applyBorder="1" applyAlignment="1">
      <alignment horizontal="right" vertical="center"/>
    </xf>
    <xf numFmtId="14" fontId="5" fillId="4" borderId="2" xfId="0" applyNumberFormat="1" applyFont="1" applyFill="1" applyBorder="1" applyAlignment="1">
      <alignment horizontal="right" vertical="center"/>
    </xf>
    <xf numFmtId="164" fontId="5" fillId="4" borderId="2" xfId="0" applyNumberFormat="1" applyFont="1" applyFill="1" applyBorder="1" applyAlignment="1">
      <alignment horizontal="right" vertical="center"/>
    </xf>
    <xf numFmtId="43" fontId="5" fillId="4" borderId="2" xfId="2" applyFont="1" applyFill="1" applyBorder="1" applyAlignment="1">
      <alignment horizontal="right" vertical="center"/>
    </xf>
    <xf numFmtId="167" fontId="5" fillId="4" borderId="2" xfId="2" applyNumberFormat="1" applyFont="1" applyFill="1" applyBorder="1" applyAlignment="1">
      <alignment horizontal="right" vertical="center"/>
    </xf>
    <xf numFmtId="14" fontId="11" fillId="0" borderId="1" xfId="1" applyNumberFormat="1" applyFont="1" applyBorder="1"/>
  </cellXfs>
  <cellStyles count="4">
    <cellStyle name="Comma" xfId="2" builtinId="3"/>
    <cellStyle name="Hyperlink" xfId="1" builtinId="8"/>
    <cellStyle name="Normal" xfId="0" builtinId="0"/>
    <cellStyle name="Per 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api.airleasecorp.com/filings/AL-000162828025037413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www.airleasecorp.com/press/air-lease-corporation-enters-into-merger-agreement-with-sumitomo-corporation-smbc-aviation-capital-apollo-and-brookfield" TargetMode="External"/><Relationship Id="rId1" Type="http://schemas.openxmlformats.org/officeDocument/2006/relationships/hyperlink" Target="https://uk.finance.yahoo.com/quote/AL/history/" TargetMode="External"/><Relationship Id="rId6" Type="http://schemas.openxmlformats.org/officeDocument/2006/relationships/hyperlink" Target="https://www.youtube.com/watch?v=1ZJsA_tjQNc" TargetMode="External"/><Relationship Id="rId5" Type="http://schemas.openxmlformats.org/officeDocument/2006/relationships/hyperlink" Target="https://www.airleasecorp.com/press/air-lease-corporation-enters-into-merger-agreement-with-sumitomo-corporation-smbc-aviation-capital-apollo-and-brookfield" TargetMode="External"/><Relationship Id="rId4" Type="http://schemas.openxmlformats.org/officeDocument/2006/relationships/hyperlink" Target="https://api.airleasecorp.com/filings/AL-0001628280250374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3F187-6A03-4386-BB92-0355239FB2B2}">
  <dimension ref="A1"/>
  <sheetViews>
    <sheetView showGridLines="0"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66B-BBF3-42D3-9A9A-255DDFD17403}">
  <dimension ref="B1:L25"/>
  <sheetViews>
    <sheetView showGridLines="0" tabSelected="1" topLeftCell="A11" zoomScale="92" zoomScaleNormal="100" workbookViewId="0">
      <selection activeCell="E35" sqref="E35"/>
    </sheetView>
  </sheetViews>
  <sheetFormatPr defaultRowHeight="14.4" x14ac:dyDescent="0.3"/>
  <cols>
    <col min="1" max="1" width="2.88671875" customWidth="1"/>
    <col min="3" max="3" width="11.44140625" bestFit="1" customWidth="1"/>
    <col min="5" max="5" width="14.77734375" bestFit="1" customWidth="1"/>
  </cols>
  <sheetData>
    <row r="1" spans="2:12" x14ac:dyDescent="0.3">
      <c r="B1" s="8" t="s">
        <v>1</v>
      </c>
      <c r="C1" s="1" t="s">
        <v>24</v>
      </c>
    </row>
    <row r="2" spans="2:12" s="3" customFormat="1" x14ac:dyDescent="0.3">
      <c r="B2" s="2" t="s">
        <v>28</v>
      </c>
      <c r="C2" s="16">
        <v>46023</v>
      </c>
    </row>
    <row r="4" spans="2:12" x14ac:dyDescent="0.3">
      <c r="B4" s="4" t="s">
        <v>2</v>
      </c>
      <c r="C4" s="5"/>
      <c r="D4" s="5"/>
      <c r="E4" s="5"/>
      <c r="F4" s="5"/>
      <c r="G4" s="5"/>
      <c r="H4" s="5"/>
      <c r="I4" s="5"/>
      <c r="J4" s="5"/>
      <c r="K4" s="5"/>
      <c r="L4" s="5"/>
    </row>
    <row r="5" spans="2:12" ht="7.05" customHeight="1" x14ac:dyDescent="0.3"/>
    <row r="6" spans="2:12" x14ac:dyDescent="0.3">
      <c r="B6" t="s">
        <v>3</v>
      </c>
    </row>
    <row r="7" spans="2:12" x14ac:dyDescent="0.3">
      <c r="B7" t="s">
        <v>4</v>
      </c>
    </row>
    <row r="9" spans="2:12" x14ac:dyDescent="0.3">
      <c r="B9" s="4" t="s">
        <v>5</v>
      </c>
      <c r="C9" s="5"/>
      <c r="D9" s="5"/>
      <c r="E9" s="5"/>
      <c r="F9" s="5"/>
      <c r="G9" s="5"/>
      <c r="H9" s="5"/>
      <c r="I9" s="5"/>
      <c r="J9" s="5"/>
      <c r="K9" s="5"/>
      <c r="L9" s="5"/>
    </row>
    <row r="10" spans="2:12" ht="6" customHeight="1" x14ac:dyDescent="0.3"/>
    <row r="11" spans="2:12" x14ac:dyDescent="0.3">
      <c r="B11" s="7" t="s">
        <v>6</v>
      </c>
      <c r="C11" s="6"/>
      <c r="D11" s="6"/>
      <c r="E11" s="6"/>
      <c r="H11" s="7" t="s">
        <v>12</v>
      </c>
      <c r="I11" s="6"/>
      <c r="J11" s="6"/>
      <c r="K11" s="6"/>
    </row>
    <row r="12" spans="2:12" x14ac:dyDescent="0.3">
      <c r="B12" t="s">
        <v>7</v>
      </c>
      <c r="E12" s="11" t="s">
        <v>9</v>
      </c>
      <c r="H12" s="8" t="s">
        <v>13</v>
      </c>
      <c r="K12" s="13">
        <v>65</v>
      </c>
      <c r="L12" s="1" t="s">
        <v>0</v>
      </c>
    </row>
    <row r="13" spans="2:12" x14ac:dyDescent="0.3">
      <c r="B13" t="s">
        <v>8</v>
      </c>
      <c r="E13" s="11" t="s">
        <v>10</v>
      </c>
      <c r="H13" s="9" t="s">
        <v>14</v>
      </c>
      <c r="K13" s="10">
        <f>K12/E15-1</f>
        <v>9.0787044806175388E-2</v>
      </c>
    </row>
    <row r="14" spans="2:12" x14ac:dyDescent="0.3">
      <c r="B14" t="s">
        <v>27</v>
      </c>
      <c r="E14" s="12">
        <v>45902</v>
      </c>
    </row>
    <row r="15" spans="2:12" x14ac:dyDescent="0.3">
      <c r="B15" t="s">
        <v>11</v>
      </c>
      <c r="E15" s="13">
        <v>59.59</v>
      </c>
      <c r="F15" s="1" t="s">
        <v>0</v>
      </c>
      <c r="H15" s="8" t="s">
        <v>15</v>
      </c>
    </row>
    <row r="16" spans="2:12" x14ac:dyDescent="0.3">
      <c r="H16" t="s">
        <v>21</v>
      </c>
    </row>
    <row r="17" spans="2:11" x14ac:dyDescent="0.3">
      <c r="B17" s="7" t="s">
        <v>25</v>
      </c>
      <c r="C17" s="6"/>
      <c r="D17" s="6"/>
      <c r="E17" s="6"/>
    </row>
    <row r="18" spans="2:11" x14ac:dyDescent="0.3">
      <c r="B18" t="s">
        <v>19</v>
      </c>
      <c r="E18" s="14"/>
      <c r="H18" s="9" t="s">
        <v>16</v>
      </c>
    </row>
    <row r="19" spans="2:11" x14ac:dyDescent="0.3">
      <c r="B19" t="s">
        <v>16</v>
      </c>
      <c r="E19" s="15">
        <v>20320406</v>
      </c>
      <c r="F19" s="1" t="s">
        <v>0</v>
      </c>
      <c r="H19" s="9" t="s">
        <v>17</v>
      </c>
    </row>
    <row r="20" spans="2:11" x14ac:dyDescent="0.3">
      <c r="B20" t="s">
        <v>17</v>
      </c>
      <c r="E20" s="15">
        <v>454801</v>
      </c>
      <c r="F20" s="1" t="s">
        <v>0</v>
      </c>
    </row>
    <row r="21" spans="2:11" x14ac:dyDescent="0.3">
      <c r="B21" t="s">
        <v>22</v>
      </c>
      <c r="E21" s="15">
        <v>7400000</v>
      </c>
      <c r="F21" s="1" t="s">
        <v>0</v>
      </c>
      <c r="H21" s="8" t="s">
        <v>18</v>
      </c>
    </row>
    <row r="22" spans="2:11" x14ac:dyDescent="0.3">
      <c r="B22" t="s">
        <v>23</v>
      </c>
      <c r="E22" s="14"/>
      <c r="H22" t="s">
        <v>19</v>
      </c>
    </row>
    <row r="23" spans="2:11" x14ac:dyDescent="0.3">
      <c r="H23" s="8" t="s">
        <v>20</v>
      </c>
    </row>
    <row r="25" spans="2:11" x14ac:dyDescent="0.3">
      <c r="B25" s="7" t="s">
        <v>26</v>
      </c>
      <c r="C25" s="6"/>
      <c r="D25" s="6"/>
      <c r="E25" s="6"/>
      <c r="F25" s="6"/>
      <c r="G25" s="6"/>
      <c r="H25" s="6"/>
      <c r="I25" s="6"/>
      <c r="J25" s="6"/>
      <c r="K25" s="6"/>
    </row>
  </sheetData>
  <hyperlinks>
    <hyperlink ref="F15" r:id="rId1" xr:uid="{B5179E28-2C5B-45A6-B62B-402E313687AF}"/>
    <hyperlink ref="L12" r:id="rId2" xr:uid="{B5DBADF4-CA8E-4820-A239-FBCCE60D6083}"/>
    <hyperlink ref="F19" r:id="rId3" xr:uid="{209812A7-3F3E-4CB0-ABC6-55A1EDCBA0EE}"/>
    <hyperlink ref="F20" r:id="rId4" xr:uid="{551CC1BF-FD9A-4757-81D4-B830F57EB88E}"/>
    <hyperlink ref="F21" r:id="rId5" xr:uid="{2AB0C4A4-34FA-4307-89B4-421779F60B36}"/>
    <hyperlink ref="C1" r:id="rId6" xr:uid="{B6F39D97-F455-4828-A00D-E7A581DD628F}"/>
  </hyperlinks>
  <pageMargins left="0.7" right="0.7" top="0.75" bottom="0.75" header="0.3" footer="0.3"/>
  <legacy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LBO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Nguyen, Anh Quoc</cp:lastModifiedBy>
  <dcterms:created xsi:type="dcterms:W3CDTF">2015-06-05T18:17:20Z</dcterms:created>
  <dcterms:modified xsi:type="dcterms:W3CDTF">2026-03-28T07:15:46Z</dcterms:modified>
</cp:coreProperties>
</file>