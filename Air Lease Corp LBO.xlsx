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Owner\Documents\GitHub\AirLease-LBO\"/>
    </mc:Choice>
  </mc:AlternateContent>
  <xr:revisionPtr revIDLastSave="0" documentId="13_ncr:1_{5EED2113-E30D-4DDE-8074-56CC01E83846}" xr6:coauthVersionLast="47" xr6:coauthVersionMax="47" xr10:uidLastSave="{00000000-0000-0000-0000-000000000000}"/>
  <bookViews>
    <workbookView xWindow="11460" yWindow="0" windowWidth="11676" windowHeight="12336" activeTab="2" xr2:uid="{00000000-000D-0000-FFFF-FFFF00000000}"/>
  </bookViews>
  <sheets>
    <sheet name="Cover" sheetId="2" r:id="rId1"/>
    <sheet name="LBO" sheetId="3" r:id="rId2"/>
    <sheet name="Shares"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3" l="1"/>
  <c r="F28" i="3" l="1"/>
  <c r="F29" i="3" s="1"/>
  <c r="F27" i="3"/>
  <c r="E29" i="3"/>
  <c r="G27" i="3"/>
  <c r="I27" i="3"/>
  <c r="K27" i="3" s="1"/>
  <c r="I28" i="3"/>
  <c r="G28" i="3"/>
  <c r="I29" i="3" l="1"/>
  <c r="E21" i="3"/>
  <c r="K1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Owner</author>
  </authors>
  <commentList>
    <comment ref="K12" authorId="0" shapeId="0" xr:uid="{021911C3-D2A6-4F19-84D4-B322A3254E76}">
      <text>
        <r>
          <rPr>
            <b/>
            <sz val="9"/>
            <color indexed="81"/>
            <rFont val="Tahoma"/>
            <family val="2"/>
          </rPr>
          <t>Owner:</t>
        </r>
        <r>
          <rPr>
            <sz val="9"/>
            <color indexed="81"/>
            <rFont val="Tahoma"/>
            <family val="2"/>
          </rPr>
          <t xml:space="preserve">
"Air Lease stockholders will receive $65.00 in cash for each share of Class A common stock of Air Lease"</t>
        </r>
      </text>
    </comment>
    <comment ref="K13" authorId="0" shapeId="0" xr:uid="{F225CD9C-940C-404D-BB81-9FF9F0C0F8FE}">
      <text>
        <r>
          <rPr>
            <b/>
            <sz val="9"/>
            <color indexed="81"/>
            <rFont val="Tahoma"/>
            <family val="2"/>
          </rPr>
          <t>Owner:</t>
        </r>
        <r>
          <rPr>
            <sz val="9"/>
            <color indexed="81"/>
            <rFont val="Tahoma"/>
            <family val="2"/>
          </rPr>
          <t xml:space="preserve">
The premium that investors will receive.</t>
        </r>
      </text>
    </comment>
    <comment ref="E14" authorId="0" shapeId="0" xr:uid="{AA3AA1B3-22D1-4150-99D3-043EF7E78994}">
      <text>
        <r>
          <rPr>
            <b/>
            <sz val="9"/>
            <color indexed="81"/>
            <rFont val="Tahoma"/>
            <family val="2"/>
          </rPr>
          <t>Owner:</t>
        </r>
        <r>
          <rPr>
            <sz val="9"/>
            <color indexed="81"/>
            <rFont val="Tahoma"/>
            <family val="2"/>
          </rPr>
          <t xml:space="preserve">
First Press Release to annouce about the acquisition.</t>
        </r>
      </text>
    </comment>
    <comment ref="E15" authorId="0" shapeId="0" xr:uid="{DC5DAF06-380E-45A9-9BB0-C9ABE2E43076}">
      <text>
        <r>
          <rPr>
            <b/>
            <sz val="9"/>
            <color indexed="81"/>
            <rFont val="Tahoma"/>
            <family val="2"/>
          </rPr>
          <t>Owner:</t>
        </r>
        <r>
          <rPr>
            <sz val="9"/>
            <color indexed="81"/>
            <rFont val="Tahoma"/>
            <family val="2"/>
          </rPr>
          <t xml:space="preserve">
Closing Price of 29/8/2025. The 29 August 2025 closing price is used as it represents the unaffected share price prior to the 2 September 2025 press release.</t>
        </r>
      </text>
    </comment>
    <comment ref="E17" authorId="0" shapeId="0" xr:uid="{224AFEBB-2EAF-41D1-B526-ADD5435FB6DA}">
      <text>
        <r>
          <rPr>
            <b/>
            <sz val="9"/>
            <color indexed="81"/>
            <rFont val="Tahoma"/>
            <family val="2"/>
          </rPr>
          <t>Owner:</t>
        </r>
        <r>
          <rPr>
            <sz val="9"/>
            <color indexed="81"/>
            <rFont val="Tahoma"/>
            <family val="2"/>
          </rPr>
          <t xml:space="preserve">
Q2 report is used since it reflects the financial before the press release date.</t>
        </r>
      </text>
    </comment>
    <comment ref="E18" authorId="0" shapeId="0" xr:uid="{E9109CA0-3D1B-4497-AE40-ED9968E7818E}">
      <text>
        <r>
          <rPr>
            <b/>
            <sz val="9"/>
            <color indexed="81"/>
            <rFont val="Tahoma"/>
            <family val="2"/>
          </rPr>
          <t>Owner:</t>
        </r>
        <r>
          <rPr>
            <sz val="9"/>
            <color indexed="81"/>
            <rFont val="Tahoma"/>
            <family val="2"/>
          </rPr>
          <t xml:space="preserve">
- EBITDA = Revenue - Selling, general and administrative - Stock-based compensation expense (10K Dec 2025 pg 73)</t>
        </r>
      </text>
    </comment>
    <comment ref="E19" authorId="0" shapeId="0" xr:uid="{5174199F-4000-4904-87A9-9BAE8421908B}">
      <text>
        <r>
          <rPr>
            <b/>
            <sz val="9"/>
            <color indexed="81"/>
            <rFont val="Tahoma"/>
            <family val="2"/>
          </rPr>
          <t>Owner:</t>
        </r>
        <r>
          <rPr>
            <sz val="9"/>
            <color indexed="81"/>
            <rFont val="Tahoma"/>
            <family val="2"/>
          </rPr>
          <t xml:space="preserve">
- 10K Dec 2025 pg 72
</t>
        </r>
      </text>
    </comment>
    <comment ref="E20" authorId="0" shapeId="0" xr:uid="{F7EED158-1B70-4774-82CC-5E21F961A545}">
      <text>
        <r>
          <rPr>
            <b/>
            <sz val="9"/>
            <color indexed="81"/>
            <rFont val="Tahoma"/>
            <family val="2"/>
          </rPr>
          <t>Owner:</t>
        </r>
        <r>
          <rPr>
            <sz val="9"/>
            <color indexed="81"/>
            <rFont val="Tahoma"/>
            <family val="2"/>
          </rPr>
          <t xml:space="preserve">
- 10K Dec 2025 pg 72
- Restricted Cash is excluded because it is not usable for debt repayment.</t>
        </r>
      </text>
    </comment>
    <comment ref="E21" authorId="0" shapeId="0" xr:uid="{F19BFD03-C854-484A-9AAC-775E3A40071C}">
      <text>
        <r>
          <rPr>
            <b/>
            <sz val="9"/>
            <color indexed="81"/>
            <rFont val="Tahoma"/>
            <family val="2"/>
          </rPr>
          <t>Owner:</t>
        </r>
        <r>
          <rPr>
            <sz val="9"/>
            <color indexed="81"/>
            <rFont val="Tahoma"/>
            <family val="2"/>
          </rPr>
          <t xml:space="preserve">
Minimum cash is set at $454,801K, the full reported cash balance. This amount is already small compared to Air Lease's $33.3B in total assets, and the company relies on undrawn credit lines and commercial paper for liquidity rather than cash reserves. So none of the reported cash is treated as excess available to fund the deal.</t>
        </r>
      </text>
    </comment>
    <comment ref="D27" authorId="0" shapeId="0" xr:uid="{2739772C-82C3-4D62-AA2B-C3DEF6E14597}">
      <text>
        <r>
          <rPr>
            <b/>
            <sz val="9"/>
            <color indexed="81"/>
            <rFont val="Tahoma"/>
            <family val="2"/>
          </rPr>
          <t>Owner:</t>
        </r>
        <r>
          <rPr>
            <sz val="9"/>
            <color indexed="81"/>
            <rFont val="Tahoma"/>
            <family val="2"/>
          </rPr>
          <t xml:space="preserve">
"SMBC, Citi, and Goldman Sachs Bank USA have provided $12.1 billion of committed financing in connection with the transaction."
https://www.apollo.com/insights-news/pressreleases/2025/09/sumitomo-corporation--smbc-aviation-capital--apollo-and-brookfie</t>
        </r>
      </text>
    </comment>
    <comment ref="G27" authorId="0" shapeId="0" xr:uid="{888E6FCF-8D0E-4451-BC78-99868FB3D32E}">
      <text>
        <r>
          <rPr>
            <b/>
            <sz val="9"/>
            <color indexed="81"/>
            <rFont val="Tahoma"/>
            <family val="2"/>
          </rPr>
          <t>Owner:</t>
        </r>
        <r>
          <rPr>
            <sz val="9"/>
            <color indexed="81"/>
            <rFont val="Tahoma"/>
            <family val="2"/>
          </rPr>
          <t xml:space="preserve">
- SOFR + 1.10%, based on Air Lease's actual RCF/term loan spreads (10K Dec 2025  pg 55 - Unsecured term financings)</t>
        </r>
      </text>
    </comment>
    <comment ref="H27" authorId="0" shapeId="0" xr:uid="{6D110E95-783F-4F91-AC69-D34999F2813E}">
      <text>
        <r>
          <rPr>
            <b/>
            <sz val="9"/>
            <color indexed="81"/>
            <rFont val="Tahoma"/>
            <family val="2"/>
          </rPr>
          <t>Owner:</t>
        </r>
        <r>
          <rPr>
            <sz val="9"/>
            <color indexed="81"/>
            <rFont val="Tahoma"/>
            <family val="2"/>
          </rPr>
          <t xml:space="preserve">
market standard assumptions, not disclosed for this deal.</t>
        </r>
      </text>
    </comment>
    <comment ref="J27" authorId="0" shapeId="0" xr:uid="{1BFE9F56-0BB1-4E8E-8BC7-B73639E07F8F}">
      <text>
        <r>
          <rPr>
            <b/>
            <sz val="9"/>
            <color indexed="81"/>
            <rFont val="Tahoma"/>
            <family val="2"/>
          </rPr>
          <t>Owner:</t>
        </r>
        <r>
          <rPr>
            <sz val="9"/>
            <color indexed="81"/>
            <rFont val="Tahoma"/>
            <family val="2"/>
          </rPr>
          <t xml:space="preserve">
market standard assumptions, not disclosed for this deal.</t>
        </r>
      </text>
    </comment>
    <comment ref="D28" authorId="0" shapeId="0" xr:uid="{98192F6E-EAB2-434D-9024-9F868BC0209D}">
      <text>
        <r>
          <rPr>
            <b/>
            <sz val="9"/>
            <color indexed="81"/>
            <rFont val="Tahoma"/>
            <family val="2"/>
          </rPr>
          <t>Owner:</t>
        </r>
        <r>
          <rPr>
            <sz val="9"/>
            <color indexed="81"/>
            <rFont val="Tahoma"/>
            <family val="2"/>
          </rPr>
          <t xml:space="preserve">
- 10K Dec 2025 pg 5 - Proposed Merger
- 10K Dec 2025 pg 87 - Note 6. Stockholders’ Equity</t>
        </r>
      </text>
    </comment>
    <comment ref="G28" authorId="0" shapeId="0" xr:uid="{A8061657-CC8B-41D5-9AE8-D8B8D64C3246}">
      <text>
        <r>
          <rPr>
            <b/>
            <sz val="9"/>
            <color indexed="81"/>
            <rFont val="Tahoma"/>
            <family val="2"/>
          </rPr>
          <t>Owner:</t>
        </r>
        <r>
          <rPr>
            <sz val="9"/>
            <color indexed="81"/>
            <rFont val="Tahoma"/>
            <family val="2"/>
          </rPr>
          <t xml:space="preserve">
- Series B: 4.650%
- Series C: 4.125%
- Series D: 6.000%</t>
        </r>
      </text>
    </comment>
  </commentList>
</comments>
</file>

<file path=xl/sharedStrings.xml><?xml version="1.0" encoding="utf-8"?>
<sst xmlns="http://schemas.openxmlformats.org/spreadsheetml/2006/main" count="75" uniqueCount="67">
  <si>
    <t>Link</t>
  </si>
  <si>
    <t>LBO</t>
  </si>
  <si>
    <t>Switches</t>
  </si>
  <si>
    <t>Circuit breaker</t>
  </si>
  <si>
    <t>Case</t>
  </si>
  <si>
    <t>Assumptions</t>
  </si>
  <si>
    <t>Transaction Background</t>
  </si>
  <si>
    <t>Company Name</t>
  </si>
  <si>
    <t>Ticker</t>
  </si>
  <si>
    <t>Air Lease</t>
  </si>
  <si>
    <t>AL</t>
  </si>
  <si>
    <t>Close Share Price</t>
  </si>
  <si>
    <t>Valuation at Entry</t>
  </si>
  <si>
    <t>Offer value/share</t>
  </si>
  <si>
    <t>% Premum /discount</t>
  </si>
  <si>
    <t>Offer value (Equity Value)</t>
  </si>
  <si>
    <t>Debt</t>
  </si>
  <si>
    <t>Cash</t>
  </si>
  <si>
    <t>Enterprise Value</t>
  </si>
  <si>
    <t>LTM EBITDA</t>
  </si>
  <si>
    <t>Entry Multiple</t>
  </si>
  <si>
    <t>Diluted shares outstanding</t>
  </si>
  <si>
    <t>Minimum Cash</t>
  </si>
  <si>
    <t>Exit Multiple</t>
  </si>
  <si>
    <t>https://www.youtube.com/watch?v=1ZJsA_tjQNc</t>
  </si>
  <si>
    <t>Transaction Financials and Assumptions (In thousands)</t>
  </si>
  <si>
    <t>Capital Structure</t>
  </si>
  <si>
    <t>Announcement Date</t>
  </si>
  <si>
    <t>Assumed Date</t>
  </si>
  <si>
    <t>Amount</t>
  </si>
  <si>
    <t>xEBITDA</t>
  </si>
  <si>
    <t>Interest(%)</t>
  </si>
  <si>
    <t>Fees (%)</t>
  </si>
  <si>
    <t>Fee ($)</t>
  </si>
  <si>
    <t>Term</t>
  </si>
  <si>
    <t>Amortization</t>
  </si>
  <si>
    <t>New acquisition term loan</t>
  </si>
  <si>
    <t>Preferred stock (Series B/C/D, rolled)</t>
  </si>
  <si>
    <t>Perpetual</t>
  </si>
  <si>
    <t>None</t>
  </si>
  <si>
    <t>Total</t>
  </si>
  <si>
    <t>Diluted Share Count Calculation</t>
  </si>
  <si>
    <t>x</t>
  </si>
  <si>
    <t>Full Diluted Shares</t>
  </si>
  <si>
    <t>Offer price</t>
  </si>
  <si>
    <t>Basic shares outstanding (lastest filling)</t>
  </si>
  <si>
    <t>In-the-money exercisable options</t>
  </si>
  <si>
    <t>Total proceeds</t>
  </si>
  <si>
    <t>Total shares repurchased</t>
  </si>
  <si>
    <t>Net dilutive options</t>
  </si>
  <si>
    <t>Dilutive impact of shares from other securities</t>
  </si>
  <si>
    <t>Settled stock based comp</t>
  </si>
  <si>
    <t>Net diluted shares outstanding</t>
  </si>
  <si>
    <t>Options outstanding</t>
  </si>
  <si>
    <t>Tranche 1</t>
  </si>
  <si>
    <t>Tranche 2</t>
  </si>
  <si>
    <t>Tranche 3</t>
  </si>
  <si>
    <t>Tranche 4</t>
  </si>
  <si>
    <t>Tranche 5</t>
  </si>
  <si>
    <t>Tranche 6</t>
  </si>
  <si>
    <t>Tranche 7</t>
  </si>
  <si>
    <t>Tranche 8</t>
  </si>
  <si>
    <t>Tranche 9</t>
  </si>
  <si>
    <t>Tranche 10</t>
  </si>
  <si>
    <t>Outstanding</t>
  </si>
  <si>
    <t>Exercise Price</t>
  </si>
  <si>
    <t>Dilutuve Shares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</si>
</sst>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XDR&quot;* #,##0.00_-;\-&quot;XDR&quot;* #,##0.00_-;_-&quot;XDR&quot;* &quot;-&quot;??_-;_-@_-"/>
    <numFmt numFmtId="43" formatCode="_-* #,##0.00_-;\-* #,##0.00_-;_-* &quot;-&quot;??_-;_-@_-"/>
    <numFmt numFmtId="164" formatCode="[$$-409]#,##0.00_ ;\-[$$-409]#,##0.00\ "/>
    <numFmt numFmtId="165" formatCode="_-* #,##0_-;\-* #,##0_-;_-* &quot;-&quot;??_-;_-@_-"/>
    <numFmt numFmtId="166" formatCode="_-[$$-409]* #,##0_ ;_-[$$-409]* \-#,##0\ ;_-[$$-409]* &quot;-&quot;_ ;_-@_ "/>
    <numFmt numFmtId="167" formatCode="0.0000\x"/>
  </numFmts>
  <fonts count="1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70C0"/>
      <name val="Calibri"/>
      <family val="2"/>
      <scheme val="minor"/>
    </font>
    <font>
      <sz val="11"/>
      <color theme="1"/>
      <name val="Calibri"/>
      <family val="2"/>
      <scheme val="minor"/>
    </font>
    <font>
      <sz val="9"/>
      <color indexed="81"/>
      <name val="Tahoma"/>
      <family val="2"/>
    </font>
    <font>
      <b/>
      <sz val="9"/>
      <color indexed="81"/>
      <name val="Tahoma"/>
      <family val="2"/>
    </font>
    <font>
      <sz val="11"/>
      <name val="Calibri"/>
      <family val="2"/>
      <scheme val="minor"/>
    </font>
    <font>
      <b/>
      <u/>
      <sz val="11"/>
      <color theme="1"/>
      <name val="Calibri"/>
      <family val="2"/>
      <scheme val="minor"/>
    </font>
    <font>
      <b/>
      <sz val="16"/>
      <color theme="1"/>
      <name val="Calibri"/>
      <family val="2"/>
      <scheme val="minor"/>
    </font>
    <font>
      <sz val="8"/>
      <name val="Calibri"/>
      <family val="2"/>
      <scheme val="minor"/>
    </font>
    <font>
      <b/>
      <sz val="11"/>
      <name val="Calibri"/>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8"/>
        <bgColor indexed="64"/>
      </patternFill>
    </fill>
    <fill>
      <patternFill patternType="solid">
        <fgColor theme="7" tint="0.79998168889431442"/>
        <bgColor indexed="64"/>
      </patternFill>
    </fill>
    <fill>
      <patternFill patternType="solid">
        <fgColor theme="2"/>
        <bgColor indexed="64"/>
      </patternFill>
    </fill>
    <fill>
      <patternFill patternType="solid">
        <fgColor rgb="FF002060"/>
        <bgColor indexed="64"/>
      </patternFill>
    </fill>
    <fill>
      <patternFill patternType="solid">
        <fgColor theme="6"/>
        <bgColor indexed="64"/>
      </patternFill>
    </fill>
  </fills>
  <borders count="8">
    <border>
      <left/>
      <right/>
      <top/>
      <bottom/>
      <diagonal/>
    </border>
    <border>
      <left/>
      <right/>
      <top/>
      <bottom style="thin">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0" fontId="4"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cellStyleXfs>
  <cellXfs count="41">
    <xf numFmtId="0" fontId="0" fillId="0" borderId="0" xfId="0"/>
    <xf numFmtId="0" fontId="4" fillId="0" borderId="0" xfId="1"/>
    <xf numFmtId="0" fontId="2" fillId="0" borderId="1" xfId="0" applyFont="1" applyBorder="1"/>
    <xf numFmtId="0" fontId="0" fillId="0" borderId="1" xfId="0" applyBorder="1"/>
    <xf numFmtId="0" fontId="1" fillId="2" borderId="0" xfId="0" applyFont="1" applyFill="1"/>
    <xf numFmtId="0" fontId="3" fillId="2" borderId="0" xfId="0" applyFont="1" applyFill="1"/>
    <xf numFmtId="0" fontId="0" fillId="3" borderId="0" xfId="0" applyFill="1"/>
    <xf numFmtId="0" fontId="1" fillId="3" borderId="0" xfId="0" applyFont="1" applyFill="1"/>
    <xf numFmtId="0" fontId="2" fillId="0" borderId="0" xfId="0" applyFont="1"/>
    <xf numFmtId="0" fontId="0" fillId="0" borderId="0" xfId="0" applyAlignment="1">
      <alignment horizontal="left" indent="1"/>
    </xf>
    <xf numFmtId="10" fontId="0" fillId="0" borderId="0" xfId="3" applyNumberFormat="1" applyFont="1"/>
    <xf numFmtId="0" fontId="5" fillId="4" borderId="2" xfId="0" applyFont="1" applyFill="1" applyBorder="1" applyAlignment="1">
      <alignment horizontal="right" vertical="center"/>
    </xf>
    <xf numFmtId="14" fontId="5" fillId="4" borderId="2" xfId="0" applyNumberFormat="1" applyFont="1" applyFill="1" applyBorder="1" applyAlignment="1">
      <alignment horizontal="right" vertical="center"/>
    </xf>
    <xf numFmtId="164" fontId="5" fillId="4" borderId="2" xfId="0" applyNumberFormat="1" applyFont="1" applyFill="1" applyBorder="1" applyAlignment="1">
      <alignment horizontal="right" vertical="center"/>
    </xf>
    <xf numFmtId="43" fontId="5" fillId="4" borderId="2" xfId="2" applyFont="1" applyFill="1" applyBorder="1" applyAlignment="1">
      <alignment horizontal="right" vertical="center"/>
    </xf>
    <xf numFmtId="165" fontId="5" fillId="4" borderId="2" xfId="2" applyNumberFormat="1" applyFont="1" applyFill="1" applyBorder="1" applyAlignment="1">
      <alignment horizontal="right" vertical="center"/>
    </xf>
    <xf numFmtId="14" fontId="9" fillId="0" borderId="1" xfId="1" applyNumberFormat="1" applyFont="1" applyBorder="1"/>
    <xf numFmtId="0" fontId="10" fillId="0" borderId="0" xfId="0" applyFont="1" applyAlignment="1">
      <alignment horizontal="right"/>
    </xf>
    <xf numFmtId="166" fontId="0" fillId="0" borderId="0" xfId="0" applyNumberFormat="1"/>
    <xf numFmtId="166" fontId="5" fillId="0" borderId="0" xfId="4" applyNumberFormat="1" applyFont="1"/>
    <xf numFmtId="10" fontId="5" fillId="0" borderId="0" xfId="3" applyNumberFormat="1" applyFont="1"/>
    <xf numFmtId="0" fontId="5" fillId="0" borderId="0" xfId="0" applyFont="1"/>
    <xf numFmtId="0" fontId="5" fillId="0" borderId="0" xfId="0" applyFont="1" applyAlignment="1">
      <alignment horizontal="right"/>
    </xf>
    <xf numFmtId="165" fontId="5" fillId="0" borderId="0" xfId="2" applyNumberFormat="1" applyFont="1"/>
    <xf numFmtId="165" fontId="5" fillId="0" borderId="0" xfId="2" applyNumberFormat="1" applyFont="1" applyAlignment="1">
      <alignment horizontal="right"/>
    </xf>
    <xf numFmtId="0" fontId="0" fillId="5" borderId="3" xfId="0" applyFill="1" applyBorder="1"/>
    <xf numFmtId="0" fontId="0" fillId="5" borderId="4" xfId="0" applyFill="1" applyBorder="1"/>
    <xf numFmtId="0" fontId="0" fillId="5" borderId="5" xfId="0" applyFill="1" applyBorder="1"/>
    <xf numFmtId="166" fontId="0" fillId="5" borderId="4" xfId="0" applyNumberFormat="1" applyFill="1" applyBorder="1"/>
    <xf numFmtId="167" fontId="0" fillId="0" borderId="0" xfId="0" applyNumberFormat="1"/>
    <xf numFmtId="167" fontId="0" fillId="5" borderId="4" xfId="0" applyNumberFormat="1" applyFill="1" applyBorder="1"/>
    <xf numFmtId="0" fontId="11" fillId="0" borderId="7" xfId="0" applyFont="1" applyBorder="1"/>
    <xf numFmtId="0" fontId="0" fillId="0" borderId="7" xfId="0" applyBorder="1"/>
    <xf numFmtId="0" fontId="3" fillId="6" borderId="0" xfId="0" applyFont="1" applyFill="1"/>
    <xf numFmtId="0" fontId="1" fillId="6" borderId="0" xfId="0" applyFont="1" applyFill="1"/>
    <xf numFmtId="0" fontId="0" fillId="0" borderId="0" xfId="0" applyFill="1"/>
    <xf numFmtId="0" fontId="1" fillId="0" borderId="0" xfId="0" applyFont="1" applyFill="1"/>
    <xf numFmtId="0" fontId="3" fillId="0" borderId="0" xfId="0" applyFont="1" applyFill="1"/>
    <xf numFmtId="0" fontId="0" fillId="4" borderId="6" xfId="0" applyFill="1" applyBorder="1"/>
    <xf numFmtId="0" fontId="3" fillId="7" borderId="0" xfId="0" applyFont="1" applyFill="1"/>
    <xf numFmtId="0" fontId="13" fillId="7" borderId="0" xfId="0" applyFont="1" applyFill="1"/>
  </cellXfs>
  <cellStyles count="5">
    <cellStyle name="Comma" xfId="2" builtinId="3"/>
    <cellStyle name="Currency" xfId="4" builtinId="4"/>
    <cellStyle name="Hyperlink" xfId="1" builtinId="8"/>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apollo.com/insights-news/pressreleases/2025/09/sumitomo-corporation--smbc-aviation-capital--apollo-and-brookfie" TargetMode="External"/><Relationship Id="rId2" Type="http://schemas.openxmlformats.org/officeDocument/2006/relationships/hyperlink" Target="https://www.youtube.com/watch?v=1ZJsA_tjQNc" TargetMode="External"/><Relationship Id="rId1" Type="http://schemas.openxmlformats.org/officeDocument/2006/relationships/hyperlink" Target="https://www.bamsec.com/filing/162828026007707/1?cik=1487712"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www.bamsec.com/filing/162828026007707/1?cik=14877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3F187-6A03-4386-BB92-0355239FB2B2}">
  <dimension ref="A1"/>
  <sheetViews>
    <sheetView showGridLines="0"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7666B-BBF3-42D3-9A9A-255DDFD17403}">
  <dimension ref="B1:L29"/>
  <sheetViews>
    <sheetView showGridLines="0" zoomScale="85" zoomScaleNormal="85" workbookViewId="0">
      <selection activeCell="E12" sqref="E12"/>
    </sheetView>
  </sheetViews>
  <sheetFormatPr defaultRowHeight="14.4" x14ac:dyDescent="0.3"/>
  <cols>
    <col min="1" max="1" width="2.88671875" customWidth="1"/>
    <col min="3" max="3" width="11.44140625" bestFit="1" customWidth="1"/>
    <col min="4" max="4" width="14.44140625" customWidth="1"/>
    <col min="5" max="5" width="18.6640625" customWidth="1"/>
    <col min="6" max="8" width="12.77734375" customWidth="1"/>
    <col min="9" max="9" width="15.88671875" customWidth="1"/>
    <col min="10" max="11" width="12.77734375" customWidth="1"/>
    <col min="12" max="12" width="11.21875" customWidth="1"/>
  </cols>
  <sheetData>
    <row r="1" spans="2:12" x14ac:dyDescent="0.3">
      <c r="B1" s="8" t="s">
        <v>1</v>
      </c>
      <c r="C1" s="1" t="s">
        <v>24</v>
      </c>
    </row>
    <row r="2" spans="2:12" s="3" customFormat="1" x14ac:dyDescent="0.3">
      <c r="B2" s="2" t="s">
        <v>28</v>
      </c>
      <c r="C2" s="16">
        <v>46023</v>
      </c>
    </row>
    <row r="4" spans="2:12" x14ac:dyDescent="0.3">
      <c r="B4" s="4" t="s">
        <v>2</v>
      </c>
      <c r="C4" s="5"/>
      <c r="D4" s="5"/>
      <c r="E4" s="5"/>
      <c r="F4" s="5"/>
      <c r="G4" s="5"/>
      <c r="H4" s="5"/>
      <c r="I4" s="5"/>
      <c r="J4" s="5"/>
      <c r="K4" s="5"/>
      <c r="L4" s="5"/>
    </row>
    <row r="5" spans="2:12" ht="7.05" customHeight="1" x14ac:dyDescent="0.3"/>
    <row r="6" spans="2:12" x14ac:dyDescent="0.3">
      <c r="B6" t="s">
        <v>3</v>
      </c>
    </row>
    <row r="7" spans="2:12" x14ac:dyDescent="0.3">
      <c r="B7" t="s">
        <v>4</v>
      </c>
    </row>
    <row r="9" spans="2:12" x14ac:dyDescent="0.3">
      <c r="B9" s="4" t="s">
        <v>5</v>
      </c>
      <c r="C9" s="5"/>
      <c r="D9" s="5"/>
      <c r="E9" s="5"/>
      <c r="F9" s="5"/>
      <c r="G9" s="5"/>
      <c r="H9" s="5"/>
      <c r="I9" s="5"/>
      <c r="J9" s="5"/>
      <c r="K9" s="5"/>
      <c r="L9" s="5"/>
    </row>
    <row r="10" spans="2:12" ht="6" customHeight="1" x14ac:dyDescent="0.3"/>
    <row r="11" spans="2:12" x14ac:dyDescent="0.3">
      <c r="B11" s="7" t="s">
        <v>6</v>
      </c>
      <c r="C11" s="6"/>
      <c r="D11" s="6"/>
      <c r="E11" s="6"/>
      <c r="H11" s="7" t="s">
        <v>12</v>
      </c>
      <c r="I11" s="6"/>
      <c r="J11" s="6"/>
      <c r="K11" s="6"/>
    </row>
    <row r="12" spans="2:12" x14ac:dyDescent="0.3">
      <c r="B12" t="s">
        <v>7</v>
      </c>
      <c r="E12" s="11" t="s">
        <v>9</v>
      </c>
      <c r="H12" s="8" t="s">
        <v>13</v>
      </c>
      <c r="K12" s="13">
        <v>65</v>
      </c>
      <c r="L12" s="1" t="s">
        <v>0</v>
      </c>
    </row>
    <row r="13" spans="2:12" x14ac:dyDescent="0.3">
      <c r="B13" t="s">
        <v>8</v>
      </c>
      <c r="E13" s="11" t="s">
        <v>10</v>
      </c>
      <c r="H13" s="9" t="s">
        <v>14</v>
      </c>
      <c r="K13" s="10">
        <f>K12/E15-1</f>
        <v>9.0787044806175388E-2</v>
      </c>
    </row>
    <row r="14" spans="2:12" x14ac:dyDescent="0.3">
      <c r="B14" t="s">
        <v>27</v>
      </c>
      <c r="E14" s="12">
        <v>45902</v>
      </c>
    </row>
    <row r="15" spans="2:12" x14ac:dyDescent="0.3">
      <c r="B15" t="s">
        <v>11</v>
      </c>
      <c r="E15" s="13">
        <v>59.59</v>
      </c>
      <c r="F15" s="1"/>
      <c r="H15" s="8" t="s">
        <v>15</v>
      </c>
    </row>
    <row r="16" spans="2:12" x14ac:dyDescent="0.3">
      <c r="H16" t="s">
        <v>21</v>
      </c>
    </row>
    <row r="17" spans="2:11" x14ac:dyDescent="0.3">
      <c r="B17" s="7" t="s">
        <v>25</v>
      </c>
      <c r="C17" s="6"/>
      <c r="D17" s="6"/>
      <c r="E17" s="6"/>
    </row>
    <row r="18" spans="2:11" x14ac:dyDescent="0.3">
      <c r="B18" t="s">
        <v>19</v>
      </c>
      <c r="E18" s="15">
        <f>3015749-219443-48930</f>
        <v>2747376</v>
      </c>
      <c r="H18" s="9" t="s">
        <v>16</v>
      </c>
    </row>
    <row r="19" spans="2:11" x14ac:dyDescent="0.3">
      <c r="B19" t="s">
        <v>16</v>
      </c>
      <c r="E19" s="15">
        <v>19730129</v>
      </c>
      <c r="F19" s="1" t="s">
        <v>0</v>
      </c>
      <c r="H19" s="9" t="s">
        <v>17</v>
      </c>
    </row>
    <row r="20" spans="2:11" x14ac:dyDescent="0.3">
      <c r="B20" t="s">
        <v>17</v>
      </c>
      <c r="E20" s="15">
        <v>466410</v>
      </c>
      <c r="F20" s="1" t="s">
        <v>0</v>
      </c>
    </row>
    <row r="21" spans="2:11" x14ac:dyDescent="0.3">
      <c r="B21" t="s">
        <v>22</v>
      </c>
      <c r="E21" s="15">
        <f>E20</f>
        <v>466410</v>
      </c>
      <c r="F21" s="1"/>
      <c r="H21" s="8" t="s">
        <v>18</v>
      </c>
    </row>
    <row r="22" spans="2:11" x14ac:dyDescent="0.3">
      <c r="B22" t="s">
        <v>23</v>
      </c>
      <c r="E22" s="14"/>
      <c r="H22" t="s">
        <v>19</v>
      </c>
    </row>
    <row r="23" spans="2:11" x14ac:dyDescent="0.3">
      <c r="H23" s="8" t="s">
        <v>20</v>
      </c>
    </row>
    <row r="25" spans="2:11" x14ac:dyDescent="0.3">
      <c r="B25" s="7" t="s">
        <v>26</v>
      </c>
      <c r="C25" s="6"/>
      <c r="D25" s="6"/>
      <c r="E25" s="6"/>
      <c r="F25" s="6"/>
      <c r="G25" s="6"/>
      <c r="H25" s="6"/>
      <c r="I25" s="6"/>
      <c r="J25" s="6"/>
      <c r="K25" s="6"/>
    </row>
    <row r="26" spans="2:11" x14ac:dyDescent="0.3">
      <c r="E26" s="17" t="s">
        <v>29</v>
      </c>
      <c r="F26" s="17" t="s">
        <v>30</v>
      </c>
      <c r="G26" s="17" t="s">
        <v>31</v>
      </c>
      <c r="H26" s="17" t="s">
        <v>32</v>
      </c>
      <c r="I26" s="17" t="s">
        <v>33</v>
      </c>
      <c r="J26" s="17" t="s">
        <v>34</v>
      </c>
      <c r="K26" s="17" t="s">
        <v>35</v>
      </c>
    </row>
    <row r="27" spans="2:11" x14ac:dyDescent="0.3">
      <c r="B27" t="s">
        <v>36</v>
      </c>
      <c r="E27" s="19">
        <v>12100000000</v>
      </c>
      <c r="F27" s="29">
        <f>E27/($E$18*1000)</f>
        <v>4.4042024098630836</v>
      </c>
      <c r="G27" s="20">
        <f>3.66%+(1%+1.15%+0.1%*2)/2</f>
        <v>4.8350000000000004E-2</v>
      </c>
      <c r="H27" s="20">
        <v>1.0999999999999999E-2</v>
      </c>
      <c r="I27" s="18">
        <f>E27*H27</f>
        <v>133099999.99999999</v>
      </c>
      <c r="J27" s="21">
        <v>5</v>
      </c>
      <c r="K27" s="23">
        <f>I27/J27</f>
        <v>26619999.999999996</v>
      </c>
    </row>
    <row r="28" spans="2:11" x14ac:dyDescent="0.3">
      <c r="B28" t="s">
        <v>37</v>
      </c>
      <c r="E28" s="19">
        <v>900000</v>
      </c>
      <c r="F28" s="29">
        <f>E28/($E$18*1000)</f>
        <v>3.2758530321295667E-4</v>
      </c>
      <c r="G28" s="20">
        <f xml:space="preserve"> (4.65% + 4.125% + 6%)/3</f>
        <v>4.9249999999999995E-2</v>
      </c>
      <c r="H28" s="20">
        <v>0</v>
      </c>
      <c r="I28" s="18">
        <f>E28*H28</f>
        <v>0</v>
      </c>
      <c r="J28" s="22" t="s">
        <v>38</v>
      </c>
      <c r="K28" s="24" t="s">
        <v>39</v>
      </c>
    </row>
    <row r="29" spans="2:11" x14ac:dyDescent="0.3">
      <c r="B29" s="25" t="s">
        <v>40</v>
      </c>
      <c r="C29" s="26"/>
      <c r="D29" s="26"/>
      <c r="E29" s="28">
        <f>SUM(E27:E28)</f>
        <v>12100900000</v>
      </c>
      <c r="F29" s="30">
        <f>SUM(F27:F28)</f>
        <v>4.4045299951662962</v>
      </c>
      <c r="G29" s="26"/>
      <c r="H29" s="26"/>
      <c r="I29" s="28">
        <f>SUM(I27:I28)</f>
        <v>133099999.99999999</v>
      </c>
      <c r="J29" s="26"/>
      <c r="K29" s="27"/>
    </row>
  </sheetData>
  <hyperlinks>
    <hyperlink ref="F19" r:id="rId1" xr:uid="{209812A7-3F3E-4CB0-ABC6-55A1EDCBA0EE}"/>
    <hyperlink ref="C1" r:id="rId2" xr:uid="{B6F39D97-F455-4828-A00D-E7A581DD628F}"/>
    <hyperlink ref="L12" r:id="rId3" xr:uid="{68BB1722-524B-4964-B50F-11119179AACB}"/>
    <hyperlink ref="F20" r:id="rId4" xr:uid="{11C99AC4-BB9A-4A5C-9D01-AD3D01125F73}"/>
  </hyperlinks>
  <pageMargins left="0.7" right="0.7" top="0.75" bottom="0.75" header="0.3" footer="0.3"/>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532C0-5839-49D5-A277-5B700563CFFB}">
  <dimension ref="A2:F32"/>
  <sheetViews>
    <sheetView showGridLines="0" tabSelected="1" topLeftCell="A10" workbookViewId="0">
      <selection activeCell="B26" sqref="B26"/>
    </sheetView>
  </sheetViews>
  <sheetFormatPr defaultRowHeight="14.4" x14ac:dyDescent="0.3"/>
  <cols>
    <col min="1" max="1" width="1.88671875" bestFit="1" customWidth="1"/>
    <col min="2" max="2" width="39.21875" bestFit="1" customWidth="1"/>
    <col min="3" max="5" width="15.77734375" customWidth="1"/>
  </cols>
  <sheetData>
    <row r="2" spans="1:6" s="32" customFormat="1" ht="21" x14ac:dyDescent="0.4">
      <c r="B2" s="31" t="s">
        <v>41</v>
      </c>
      <c r="C2" s="31"/>
      <c r="D2" s="31"/>
    </row>
    <row r="4" spans="1:6" x14ac:dyDescent="0.3">
      <c r="A4" t="s">
        <v>42</v>
      </c>
      <c r="B4" s="34" t="s">
        <v>43</v>
      </c>
      <c r="C4" s="33"/>
      <c r="D4" s="33"/>
      <c r="E4" s="33"/>
    </row>
    <row r="5" spans="1:6" x14ac:dyDescent="0.3">
      <c r="A5" s="35"/>
      <c r="B5" s="36"/>
      <c r="C5" s="37"/>
      <c r="D5" s="37"/>
      <c r="E5" s="37"/>
      <c r="F5" s="35"/>
    </row>
    <row r="6" spans="1:6" x14ac:dyDescent="0.3">
      <c r="B6" t="s">
        <v>44</v>
      </c>
      <c r="E6" s="38"/>
    </row>
    <row r="7" spans="1:6" x14ac:dyDescent="0.3">
      <c r="B7" t="s">
        <v>45</v>
      </c>
      <c r="E7" s="38"/>
    </row>
    <row r="8" spans="1:6" x14ac:dyDescent="0.3">
      <c r="B8" t="s">
        <v>46</v>
      </c>
    </row>
    <row r="9" spans="1:6" x14ac:dyDescent="0.3">
      <c r="B9" t="s">
        <v>47</v>
      </c>
    </row>
    <row r="10" spans="1:6" x14ac:dyDescent="0.3">
      <c r="B10" t="s">
        <v>48</v>
      </c>
    </row>
    <row r="11" spans="1:6" x14ac:dyDescent="0.3">
      <c r="B11" t="s">
        <v>49</v>
      </c>
    </row>
    <row r="12" spans="1:6" x14ac:dyDescent="0.3">
      <c r="B12" t="s">
        <v>50</v>
      </c>
      <c r="E12" s="38"/>
    </row>
    <row r="14" spans="1:6" x14ac:dyDescent="0.3">
      <c r="B14" t="s">
        <v>51</v>
      </c>
      <c r="E14" s="38"/>
    </row>
    <row r="16" spans="1:6" x14ac:dyDescent="0.3">
      <c r="B16" s="8" t="s">
        <v>52</v>
      </c>
    </row>
    <row r="18" spans="1:5" ht="13.8" customHeight="1" x14ac:dyDescent="0.3">
      <c r="A18" t="s">
        <v>42</v>
      </c>
      <c r="B18" s="34" t="s">
        <v>53</v>
      </c>
      <c r="C18" s="33"/>
      <c r="D18" s="33"/>
      <c r="E18" s="33"/>
    </row>
    <row r="20" spans="1:5" x14ac:dyDescent="0.3">
      <c r="C20" s="17" t="s">
        <v>64</v>
      </c>
      <c r="D20" s="17" t="s">
        <v>65</v>
      </c>
      <c r="E20" s="17" t="s">
        <v>66</v>
      </c>
    </row>
    <row r="21" spans="1:5" x14ac:dyDescent="0.3">
      <c r="B21" t="s">
        <v>54</v>
      </c>
      <c r="C21" s="38"/>
      <c r="D21" s="38"/>
    </row>
    <row r="22" spans="1:5" x14ac:dyDescent="0.3">
      <c r="B22" t="s">
        <v>55</v>
      </c>
      <c r="C22" s="38"/>
      <c r="D22" s="38"/>
    </row>
    <row r="23" spans="1:5" x14ac:dyDescent="0.3">
      <c r="B23" t="s">
        <v>56</v>
      </c>
      <c r="C23" s="38"/>
      <c r="D23" s="38"/>
    </row>
    <row r="24" spans="1:5" x14ac:dyDescent="0.3">
      <c r="B24" t="s">
        <v>57</v>
      </c>
      <c r="C24" s="38"/>
      <c r="D24" s="38"/>
    </row>
    <row r="25" spans="1:5" x14ac:dyDescent="0.3">
      <c r="B25" t="s">
        <v>58</v>
      </c>
      <c r="C25" s="38"/>
      <c r="D25" s="38"/>
    </row>
    <row r="26" spans="1:5" x14ac:dyDescent="0.3">
      <c r="B26" t="s">
        <v>59</v>
      </c>
      <c r="C26" s="38"/>
      <c r="D26" s="38"/>
    </row>
    <row r="27" spans="1:5" x14ac:dyDescent="0.3">
      <c r="B27" t="s">
        <v>60</v>
      </c>
      <c r="C27" s="38"/>
      <c r="D27" s="38"/>
    </row>
    <row r="28" spans="1:5" x14ac:dyDescent="0.3">
      <c r="B28" t="s">
        <v>61</v>
      </c>
      <c r="C28" s="38"/>
      <c r="D28" s="38"/>
    </row>
    <row r="29" spans="1:5" x14ac:dyDescent="0.3">
      <c r="B29" t="s">
        <v>62</v>
      </c>
      <c r="C29" s="38"/>
      <c r="D29" s="38"/>
    </row>
    <row r="30" spans="1:5" x14ac:dyDescent="0.3">
      <c r="B30" t="s">
        <v>63</v>
      </c>
      <c r="C30" s="38"/>
      <c r="D30" s="38"/>
    </row>
    <row r="32" spans="1:5" x14ac:dyDescent="0.3">
      <c r="A32" t="s">
        <v>42</v>
      </c>
      <c r="B32" s="40" t="s">
        <v>40</v>
      </c>
      <c r="C32" s="39"/>
      <c r="D32" s="39"/>
      <c r="E32" s="39"/>
    </row>
  </sheetData>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LBO</vt:lpstr>
      <vt:lpstr>Shares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Nguyen, Anh Quoc</cp:lastModifiedBy>
  <dcterms:created xsi:type="dcterms:W3CDTF">2015-06-05T18:17:20Z</dcterms:created>
  <dcterms:modified xsi:type="dcterms:W3CDTF">2026-07-06T22:26:47Z</dcterms:modified>
</cp:coreProperties>
</file>